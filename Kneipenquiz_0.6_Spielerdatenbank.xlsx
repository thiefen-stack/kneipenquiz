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d53316ec3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ef8351b96ce0492f"/>
    <x:sheet xmlns:r="http://schemas.openxmlformats.org/officeDocument/2006/relationships" name="Übersicht" sheetId="2" r:id="R5747a8eda28246bd"/>
    <x:sheet xmlns:r="http://schemas.openxmlformats.org/officeDocument/2006/relationships" name="Spieler" sheetId="3" r:id="R49cd7d2a22854145"/>
    <x:sheet xmlns:r="http://schemas.openxmlformats.org/officeDocument/2006/relationships" name="Antworten" sheetId="4" r:id="Rd2ccd2723f64452c"/>
    <x:sheet xmlns:r="http://schemas.openxmlformats.org/officeDocument/2006/relationships" name="Runden" sheetId="5" r:id="Rce54bdeccbff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6D4800"/>
      <x:name val="Carlito"/>
    </x:font>
    <x:font>
      <x:b/>
      <x:sz val="11"/>
      <x:color rgb="FF1C4D3A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536475"/>
      <x:name val="Carlito"/>
    </x:font>
    <x:font>
      <x:b/>
      <x:sz val="14"/>
      <x:color rgb="FF1C4D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C4D3A"/>
      </x:patternFill>
    </x:fill>
    <x:fill>
      <x:patternFill patternType="solid">
        <x:fgColor rgb="FFFFF3DA"/>
      </x:patternFill>
    </x:fill>
    <x:fill>
      <x:patternFill patternType="solid">
        <x:fgColor rgb="FFEAF3EE"/>
      </x:patternFill>
    </x:fill>
    <x:fill>
      <x:patternFill patternType="solid">
        <x:fgColor rgb="FF18222E"/>
      </x:patternFill>
    </x:fill>
    <x:fill>
      <x:patternFill patternType="solid">
        <x:fgColor rgb="FFF2F5F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1" fontId="7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37a1de3284ec7" /><Relationship Type="http://schemas.openxmlformats.org/officeDocument/2006/relationships/theme" Target="/xl/theme/theme1.xml" Id="Ra0e9b92448bc4ad4" /><Relationship Type="http://schemas.openxmlformats.org/officeDocument/2006/relationships/sharedStrings" Target="/xl/sharedStrings.xml" Id="Rc4434481e8af4ae1" /><Relationship Type="http://schemas.openxmlformats.org/officeDocument/2006/relationships/worksheet" Target="/xl/worksheets/sheet1.xml" Id="Ref8351b96ce0492f" /><Relationship Type="http://schemas.openxmlformats.org/officeDocument/2006/relationships/worksheet" Target="/xl/worksheets/sheet2.xml" Id="R5747a8eda28246bd" /><Relationship Type="http://schemas.openxmlformats.org/officeDocument/2006/relationships/worksheet" Target="/xl/worksheets/sheet3.xml" Id="R49cd7d2a22854145" /><Relationship Type="http://schemas.openxmlformats.org/officeDocument/2006/relationships/worksheet" Target="/xl/worksheets/sheet4.xml" Id="Rd2ccd2723f64452c" /><Relationship Type="http://schemas.openxmlformats.org/officeDocument/2006/relationships/worksheet" Target="/xl/worksheets/sheet5.xml" Id="Rce54bdeccbff47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6" customHeight="1">
      <x:c r="A1" s="4" t="str">
        <x:v>BERLINER KNEIPENQUIZ · SPIELERDATENBANK</x:v>
      </x:c>
      <x:c r="B1" s="4"/>
      <x:c r="C1" s="4"/>
      <x:c r="D1" s="4"/>
      <x:c r="E1" s="4"/>
      <x:c r="F1" s="4"/>
    </x:row>
    <x:row r="3" ht="32" customHeight="1">
      <x:c r="A3" s="15" t="str">
        <x:v>Version</x:v>
      </x:c>
      <x:c r="B3" s="18" t="str">
        <x:v>0.6 – Google Sheets / Apps Script</x:v>
      </x:c>
    </x:row>
    <x:row r="4" ht="32" customHeight="1">
      <x:c r="A4" s="15" t="str">
        <x:v>Zweck</x:v>
      </x:c>
      <x:c r="B4" s="18" t="str">
        <x:v>Zentrale Spieler, beantwortete Fragen und Rangliste</x:v>
      </x:c>
    </x:row>
    <x:row r="5" ht="32" customHeight="1">
      <x:c r="A5" s="15" t="str">
        <x:v>1. Import</x:v>
      </x:c>
      <x:c r="B5" s="18" t="str">
        <x:v>Google Drive → Neu → Datei hochladen → diese XLSX öffnen → Als Google-Tabelle speichern</x:v>
      </x:c>
    </x:row>
    <x:row r="6" ht="32" customHeight="1">
      <x:c r="A6" s="15" t="str">
        <x:v>2. Apps Script</x:v>
      </x:c>
      <x:c r="B6" s="18" t="str">
        <x:v>Erweiterungen → Apps Script → Inhalt von Code.gs einfügen und speichern</x:v>
      </x:c>
    </x:row>
    <x:row r="7" ht="32" customHeight="1">
      <x:c r="A7" s="15" t="str">
        <x:v>3. Einrichten</x:v>
      </x:c>
      <x:c r="B7" s="18" t="str">
        <x:v>In Apps Script die Funktion setup() einmal ausführen und Berechtigungen bestätigen</x:v>
      </x:c>
    </x:row>
    <x:row r="8" ht="32" customHeight="1">
      <x:c r="A8" s="15" t="str">
        <x:v>4. Bereitstellen</x:v>
      </x:c>
      <x:c r="B8" s="18" t="str">
        <x:v>Bereitstellen → Neue Bereitstellung → Web-App</x:v>
      </x:c>
    </x:row>
    <x:row r="9" ht="32" customHeight="1">
      <x:c r="A9" s="15" t="str">
        <x:v>5. Zugriff</x:v>
      </x:c>
      <x:c r="B9" s="18" t="str">
        <x:v>Ausführen als: Ich / Zugriff: Jeder</x:v>
      </x:c>
    </x:row>
    <x:row r="10" ht="32" customHeight="1">
      <x:c r="A10" s="15" t="str">
        <x:v>6. Verbinden</x:v>
      </x:c>
      <x:c r="B10" s="18" t="str">
        <x:v>Die URL mit /exec in config.js als apiUrl eintragen</x:v>
      </x:c>
    </x:row>
    <x:row r="11" ht="32" customHeight="1">
      <x:c r="A11" s="15" t="str">
        <x:v>7. Freigeben</x:v>
      </x:c>
      <x:c r="B11" s="18" t="str">
        <x:v>Erst danach GitHub-Änderungen freigeben; Google-Tabelle privat lassen</x:v>
      </x:c>
    </x:row>
    <x:row r="13" ht="30" customHeight="1">
      <x:c r="A13" s="10" t="str">
        <x:v>WICHTIG: Spaltenüberschriften und Tabellennamen nicht verändern. Keine E-Mail-Adressen nötig.</x:v>
      </x:c>
      <x:c r="B13" s="10"/>
      <x:c r="C13" s="10"/>
      <x:c r="D13" s="10"/>
      <x:c r="E13" s="10"/>
      <x:c r="F13" s="10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</x:cols>
  <x:sheetData>
    <x:row r="1" ht="38" customHeight="1">
      <x:c r="A1" s="26" t="str">
        <x:v>QUIZ-COCKPIT · GESAMTÜBERSICHT</x:v>
      </x:c>
      <x:c r="B1" s="26"/>
      <x:c r="C1" s="26"/>
      <x:c r="D1" s="26"/>
    </x:row>
    <x:row r="3" ht="28" customHeight="1">
      <x:c r="A3" s="33" t="str">
        <x:v>Kennzahl</x:v>
      </x:c>
      <x:c r="B3" s="33" t="str">
        <x:v>Wert</x:v>
      </x:c>
    </x:row>
    <x:row r="4" ht="31" customHeight="1">
      <x:c r="A4" s="37" t="str">
        <x:v>Spieler</x:v>
      </x:c>
      <x:c r="B4" s="42" t="n">
        <x:f>COUNTA(Spieler!A2:A100000)</x:f>
        <x:v>0</x:v>
      </x:c>
    </x:row>
    <x:row r="5" ht="31" customHeight="1">
      <x:c r="A5" s="37" t="str">
        <x:v>Beantwortete Fragen</x:v>
      </x:c>
      <x:c r="B5" s="42" t="n">
        <x:f>COUNTA(Antworten!A2:A100000)</x:f>
        <x:v>0</x:v>
      </x:c>
    </x:row>
    <x:row r="6" ht="31" customHeight="1">
      <x:c r="A6" s="37" t="str">
        <x:v>Richtig beantwortet</x:v>
      </x:c>
      <x:c r="B6" s="42" t="n">
        <x:f>COUNTIF(Antworten!F2:F100000,TRUE)</x:f>
        <x:v>0</x:v>
      </x:c>
    </x:row>
    <x:row r="7" ht="31" customHeight="1">
      <x:c r="A7" s="37" t="str">
        <x:v>Trefferquote</x:v>
      </x:c>
      <x:c r="B7" s="43" t="n">
        <x:f>IFERROR(B6/B5,0)</x:f>
        <x:v>0</x:v>
      </x:c>
    </x:row>
    <x:row r="8" ht="31" customHeight="1">
      <x:c r="A8" s="37" t="str">
        <x:v>Abgeschlossene Runden</x:v>
      </x:c>
      <x:c r="B8" s="42" t="n">
        <x:f>COUNTA(Runden!A2:A100000)</x:f>
        <x:v>0</x:v>
      </x:c>
    </x:row>
    <x:row r="9" ht="31" customHeight="1">
      <x:c r="A9" s="37" t="str">
        <x:v>Ø Antwortzeit (Sek.)</x:v>
      </x:c>
      <x:c r="B9" s="44" t="n">
        <x:f>IFERROR(AVERAGE(Antworten!H2:H100000)/1000,0)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5" hidden="0" customWidth="1"/>
    <x:col min="3" max="3" width="28" hidden="0" customWidth="1"/>
    <x:col min="4" max="4" width="25" hidden="0" customWidth="1"/>
  </x:cols>
  <x:sheetData>
    <x:row r="1" ht="30" customHeight="1">
      <x:c r="A1" s="24" t="str">
        <x:v>Spieler-ID</x:v>
      </x:c>
      <x:c r="B1" s="24" t="str">
        <x:v>Spielername</x:v>
      </x:c>
      <x:c r="C1" s="24" t="str">
        <x:v>Name (normalisiert)</x:v>
      </x:c>
      <x:c r="D1" s="24" t="str">
        <x:v>Erstellt am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21" hidden="0" customWidth="1"/>
    <x:col min="5" max="5" width="25" hidden="0" customWidth="1"/>
    <x:col min="6" max="6" width="21" hidden="0" customWidth="1"/>
    <x:col min="7" max="7" width="21" hidden="0" customWidth="1"/>
    <x:col min="8" max="8" width="21" hidden="0" customWidth="1"/>
    <x:col min="9" max="9" width="26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30" customHeight="1">
      <x:c r="A1" s="24" t="str">
        <x:v>Ereignis-ID</x:v>
      </x:c>
      <x:c r="B1" s="24" t="str">
        <x:v>Spieler-ID</x:v>
      </x:c>
      <x:c r="C1" s="24" t="str">
        <x:v>Runden-ID</x:v>
      </x:c>
      <x:c r="D1" s="24" t="str">
        <x:v>Frage-ID</x:v>
      </x:c>
      <x:c r="E1" s="24" t="str">
        <x:v>Kategorie</x:v>
      </x:c>
      <x:c r="F1" s="24" t="str">
        <x:v>Richtig</x:v>
      </x:c>
      <x:c r="G1" s="24" t="str">
        <x:v>Tipp verwendet</x:v>
      </x:c>
      <x:c r="H1" s="24" t="str">
        <x:v>Antwortzeit (ms)</x:v>
      </x:c>
      <x:c r="I1" s="24" t="str">
        <x:v>Zeitpunkt</x:v>
      </x:c>
      <x:c r="J1" s="24" t="str">
        <x:v>Punkte</x:v>
      </x:c>
      <x:c r="K1" s="24" t="str">
        <x:v>Version</x:v>
      </x:c>
      <x:c r="L1" s="24" t="str">
        <x:v>Modus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0" customHeight="1">
      <x:c r="A1" s="24" t="str">
        <x:v>Runden-ID</x:v>
      </x:c>
      <x:c r="B1" s="24" t="str">
        <x:v>Spieler-ID</x:v>
      </x:c>
      <x:c r="C1" s="24" t="str">
        <x:v>Beendet am</x:v>
      </x:c>
      <x:c r="D1" s="24" t="str">
        <x:v>Fragen</x:v>
      </x:c>
      <x:c r="E1" s="24" t="str">
        <x:v>Richtig</x:v>
      </x:c>
      <x:c r="F1" s="24" t="str">
        <x:v>Tipps</x:v>
      </x:c>
      <x:c r="G1" s="24" t="str">
        <x:v>Dauer (ms)</x:v>
      </x:c>
    </x:row>
  </x:sheetData>
  <x:pageMargins left="0.7" right="0.7" top="0.75" bottom="0.75" header="0.3" footer="0.3"/>
</x:worksheet>
</file>